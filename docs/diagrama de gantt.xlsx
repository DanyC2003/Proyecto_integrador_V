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amil\OneDrive\Desktop\"/>
    </mc:Choice>
  </mc:AlternateContent>
  <xr:revisionPtr revIDLastSave="0" documentId="13_ncr:1_{7C24FD45-CAFB-4365-941F-7773BF7926F8}" xr6:coauthVersionLast="47" xr6:coauthVersionMax="47" xr10:uidLastSave="{00000000-0000-0000-0000-000000000000}"/>
  <bookViews>
    <workbookView xWindow="-120" yWindow="-120" windowWidth="38640" windowHeight="21120" xr2:uid="{F927F4A5-BACA-4BCC-8E63-A46C48EAC519}"/>
  </bookViews>
  <sheets>
    <sheet name="Hoja1" sheetId="1" r:id="rId1"/>
  </sheets>
  <definedNames>
    <definedName name="_xlnm._FilterDatabase" localSheetId="0" hidden="1">Hoja1!$A$33:$M$33</definedName>
    <definedName name="SegmentaciónDeDatos_Responsable">#N/A</definedName>
    <definedName name="SegmentaciónDeDatos_Sprint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"/>
        <x14:slicerCache r:id="rId3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3" i="1" l="1"/>
  <c r="L39" i="1"/>
  <c r="M39" i="1" s="1"/>
  <c r="L35" i="1"/>
  <c r="M35" i="1" s="1"/>
  <c r="L36" i="1"/>
  <c r="M36" i="1" s="1"/>
  <c r="L44" i="1"/>
  <c r="M44" i="1" s="1"/>
  <c r="L34" i="1"/>
  <c r="M34" i="1" s="1"/>
  <c r="L45" i="1"/>
  <c r="M45" i="1" s="1"/>
  <c r="L42" i="1"/>
  <c r="M42" i="1" s="1"/>
  <c r="L40" i="1"/>
  <c r="M40" i="1" s="1"/>
  <c r="L41" i="1"/>
  <c r="M41" i="1" s="1"/>
  <c r="L37" i="1"/>
  <c r="M37" i="1" s="1"/>
  <c r="L38" i="1"/>
  <c r="M38" i="1" s="1"/>
  <c r="M43" i="1"/>
</calcChain>
</file>

<file path=xl/sharedStrings.xml><?xml version="1.0" encoding="utf-8"?>
<sst xmlns="http://schemas.openxmlformats.org/spreadsheetml/2006/main" count="73" uniqueCount="32">
  <si>
    <t>Entrega de valor</t>
  </si>
  <si>
    <t>HA/HU</t>
  </si>
  <si>
    <t>Sprint</t>
  </si>
  <si>
    <t>Responsable</t>
  </si>
  <si>
    <t>Rol</t>
  </si>
  <si>
    <t>Puntos</t>
  </si>
  <si>
    <t>Progreso</t>
  </si>
  <si>
    <t>Restante</t>
  </si>
  <si>
    <t>Fecha Inicio</t>
  </si>
  <si>
    <t>Épica 1</t>
  </si>
  <si>
    <t>Entregable 1</t>
  </si>
  <si>
    <t>Selección del dataset y caso de uso</t>
  </si>
  <si>
    <t>Camilo</t>
  </si>
  <si>
    <t>PO</t>
  </si>
  <si>
    <t>Modelado preliminar de datos</t>
  </si>
  <si>
    <t>Backend</t>
  </si>
  <si>
    <t>Creación de BD SQLite</t>
  </si>
  <si>
    <t>Exportación de datos a CSV</t>
  </si>
  <si>
    <t>Elaboración del README del repo</t>
  </si>
  <si>
    <t>Borrador del documento APA</t>
  </si>
  <si>
    <t>Revisión final y entrega</t>
  </si>
  <si>
    <t>Épica</t>
  </si>
  <si>
    <t>Fecha Fin</t>
  </si>
  <si>
    <t>Duración Días</t>
  </si>
  <si>
    <t>%Días</t>
  </si>
  <si>
    <t>Daniela</t>
  </si>
  <si>
    <t>Épica 2</t>
  </si>
  <si>
    <t>Entregable 2</t>
  </si>
  <si>
    <t>Limpieza de datos</t>
  </si>
  <si>
    <t>Inrrequesimiento de datos</t>
  </si>
  <si>
    <t>Analisis descriptivo</t>
  </si>
  <si>
    <t>Documentacion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</si>
</sst>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/mm/yyyy"/>
      <alignment horizontal="center" vertical="center" textRotation="0" wrapText="0" indent="0" justifyLastLine="0" shrinkToFit="0" readingOrder="0"/>
    </dxf>
    <dxf>
      <numFmt numFmtId="19" formatCode="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2.xml"/><Relationship Id="rId7" Type="http://schemas.openxmlformats.org/officeDocument/2006/relationships/calcChain" Target="calcChain.xml"/><Relationship Id="rId2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DIAGRAMA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Hoja1!$D$33</c:f>
              <c:strCache>
                <c:ptCount val="1"/>
                <c:pt idx="0">
                  <c:v>Sprint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Hoja1!$A$34:$C$45</c15:sqref>
                  </c15:fullRef>
                  <c15:levelRef>
                    <c15:sqref>Hoja1!$A$34:$A$45</c15:sqref>
                  </c15:levelRef>
                </c:ext>
              </c:extLst>
              <c:f>Hoja1!$A$34:$A$45</c:f>
              <c:strCache>
                <c:ptCount val="12"/>
                <c:pt idx="0">
                  <c:v>Épica 1</c:v>
                </c:pt>
                <c:pt idx="1">
                  <c:v>Épica 1</c:v>
                </c:pt>
                <c:pt idx="2">
                  <c:v>Épica 1</c:v>
                </c:pt>
                <c:pt idx="3">
                  <c:v>Épica 2</c:v>
                </c:pt>
                <c:pt idx="4">
                  <c:v>Épica 1</c:v>
                </c:pt>
                <c:pt idx="5">
                  <c:v>Épica 1</c:v>
                </c:pt>
                <c:pt idx="6">
                  <c:v>Épica 2</c:v>
                </c:pt>
                <c:pt idx="7">
                  <c:v>Épica 2</c:v>
                </c:pt>
                <c:pt idx="8">
                  <c:v>Épica 2</c:v>
                </c:pt>
                <c:pt idx="9">
                  <c:v>Épica 1</c:v>
                </c:pt>
                <c:pt idx="10">
                  <c:v>Épica 1</c:v>
                </c:pt>
                <c:pt idx="11">
                  <c:v>Épica 2</c:v>
                </c:pt>
              </c:strCache>
            </c:strRef>
          </c:cat>
          <c:val>
            <c:numRef>
              <c:f>Hoja1!$D$34:$D$45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D9-4F32-AE9E-65818A60FDDE}"/>
            </c:ext>
          </c:extLst>
        </c:ser>
        <c:ser>
          <c:idx val="3"/>
          <c:order val="3"/>
          <c:tx>
            <c:strRef>
              <c:f>Hoja1!$G$33</c:f>
              <c:strCache>
                <c:ptCount val="1"/>
                <c:pt idx="0">
                  <c:v>Puntos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Hoja1!$A$34:$C$45</c15:sqref>
                  </c15:fullRef>
                  <c15:levelRef>
                    <c15:sqref>Hoja1!$A$34:$A$45</c15:sqref>
                  </c15:levelRef>
                </c:ext>
              </c:extLst>
              <c:f>Hoja1!$A$34:$A$45</c:f>
              <c:strCache>
                <c:ptCount val="12"/>
                <c:pt idx="0">
                  <c:v>Épica 1</c:v>
                </c:pt>
                <c:pt idx="1">
                  <c:v>Épica 1</c:v>
                </c:pt>
                <c:pt idx="2">
                  <c:v>Épica 1</c:v>
                </c:pt>
                <c:pt idx="3">
                  <c:v>Épica 2</c:v>
                </c:pt>
                <c:pt idx="4">
                  <c:v>Épica 1</c:v>
                </c:pt>
                <c:pt idx="5">
                  <c:v>Épica 1</c:v>
                </c:pt>
                <c:pt idx="6">
                  <c:v>Épica 2</c:v>
                </c:pt>
                <c:pt idx="7">
                  <c:v>Épica 2</c:v>
                </c:pt>
                <c:pt idx="8">
                  <c:v>Épica 2</c:v>
                </c:pt>
                <c:pt idx="9">
                  <c:v>Épica 1</c:v>
                </c:pt>
                <c:pt idx="10">
                  <c:v>Épica 1</c:v>
                </c:pt>
                <c:pt idx="11">
                  <c:v>Épica 2</c:v>
                </c:pt>
              </c:strCache>
            </c:strRef>
          </c:cat>
          <c:val>
            <c:numRef>
              <c:f>Hoja1!$G$34:$G$45</c:f>
              <c:numCache>
                <c:formatCode>General</c:formatCode>
                <c:ptCount val="12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D9-4F32-AE9E-65818A60FDDE}"/>
            </c:ext>
          </c:extLst>
        </c:ser>
        <c:ser>
          <c:idx val="8"/>
          <c:order val="8"/>
          <c:tx>
            <c:strRef>
              <c:f>Hoja1!$L$33</c:f>
              <c:strCache>
                <c:ptCount val="1"/>
                <c:pt idx="0">
                  <c:v>Duración Días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Hoja1!$A$34:$C$45</c15:sqref>
                  </c15:fullRef>
                  <c15:levelRef>
                    <c15:sqref>Hoja1!$A$34:$A$45</c15:sqref>
                  </c15:levelRef>
                </c:ext>
              </c:extLst>
              <c:f>Hoja1!$A$34:$A$45</c:f>
              <c:strCache>
                <c:ptCount val="12"/>
                <c:pt idx="0">
                  <c:v>Épica 1</c:v>
                </c:pt>
                <c:pt idx="1">
                  <c:v>Épica 1</c:v>
                </c:pt>
                <c:pt idx="2">
                  <c:v>Épica 1</c:v>
                </c:pt>
                <c:pt idx="3">
                  <c:v>Épica 2</c:v>
                </c:pt>
                <c:pt idx="4">
                  <c:v>Épica 1</c:v>
                </c:pt>
                <c:pt idx="5">
                  <c:v>Épica 1</c:v>
                </c:pt>
                <c:pt idx="6">
                  <c:v>Épica 2</c:v>
                </c:pt>
                <c:pt idx="7">
                  <c:v>Épica 2</c:v>
                </c:pt>
                <c:pt idx="8">
                  <c:v>Épica 2</c:v>
                </c:pt>
                <c:pt idx="9">
                  <c:v>Épica 1</c:v>
                </c:pt>
                <c:pt idx="10">
                  <c:v>Épica 1</c:v>
                </c:pt>
                <c:pt idx="11">
                  <c:v>Épica 2</c:v>
                </c:pt>
              </c:strCache>
            </c:strRef>
          </c:cat>
          <c:val>
            <c:numRef>
              <c:f>Hoja1!$L$34:$L$45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5D9-4F32-AE9E-65818A60FDDE}"/>
            </c:ext>
          </c:extLst>
        </c:ser>
        <c:ser>
          <c:idx val="9"/>
          <c:order val="9"/>
          <c:tx>
            <c:strRef>
              <c:f>Hoja1!$M$33</c:f>
              <c:strCache>
                <c:ptCount val="1"/>
                <c:pt idx="0">
                  <c:v>%Días</c:v>
                </c:pt>
              </c:strCache>
            </c:strRef>
          </c:tx>
          <c:spPr>
            <a:solidFill>
              <a:schemeClr val="accent4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Hoja1!$A$34:$C$45</c15:sqref>
                  </c15:fullRef>
                  <c15:levelRef>
                    <c15:sqref>Hoja1!$A$34:$A$45</c15:sqref>
                  </c15:levelRef>
                </c:ext>
              </c:extLst>
              <c:f>Hoja1!$A$34:$A$45</c:f>
              <c:strCache>
                <c:ptCount val="12"/>
                <c:pt idx="0">
                  <c:v>Épica 1</c:v>
                </c:pt>
                <c:pt idx="1">
                  <c:v>Épica 1</c:v>
                </c:pt>
                <c:pt idx="2">
                  <c:v>Épica 1</c:v>
                </c:pt>
                <c:pt idx="3">
                  <c:v>Épica 2</c:v>
                </c:pt>
                <c:pt idx="4">
                  <c:v>Épica 1</c:v>
                </c:pt>
                <c:pt idx="5">
                  <c:v>Épica 1</c:v>
                </c:pt>
                <c:pt idx="6">
                  <c:v>Épica 2</c:v>
                </c:pt>
                <c:pt idx="7">
                  <c:v>Épica 2</c:v>
                </c:pt>
                <c:pt idx="8">
                  <c:v>Épica 2</c:v>
                </c:pt>
                <c:pt idx="9">
                  <c:v>Épica 1</c:v>
                </c:pt>
                <c:pt idx="10">
                  <c:v>Épica 1</c:v>
                </c:pt>
                <c:pt idx="11">
                  <c:v>Épica 2</c:v>
                </c:pt>
              </c:strCache>
            </c:strRef>
          </c:cat>
          <c:val>
            <c:numRef>
              <c:f>Hoja1!$M$34:$M$45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5D9-4F32-AE9E-65818A60FDD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10988527"/>
        <c:axId val="1210987087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Hoja1!$E$33</c15:sqref>
                        </c15:formulaRef>
                      </c:ext>
                    </c:extLst>
                    <c:strCache>
                      <c:ptCount val="1"/>
                      <c:pt idx="0">
                        <c:v>Responsable</c:v>
                      </c:pt>
                    </c:strCache>
                  </c:strRef>
                </c:tx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Hoja1!$A$34:$C$45</c15:sqref>
                        </c15:fullRef>
                        <c15:levelRef>
                          <c15:sqref>Hoja1!$A$34:$A$45</c15:sqref>
                        </c15:levelRef>
                        <c15:formulaRef>
                          <c15:sqref>Hoja1!$A$34:$A$45</c15:sqref>
                        </c15:formulaRef>
                      </c:ext>
                    </c:extLst>
                    <c:strCache>
                      <c:ptCount val="12"/>
                      <c:pt idx="0">
                        <c:v>Épica 1</c:v>
                      </c:pt>
                      <c:pt idx="1">
                        <c:v>Épica 1</c:v>
                      </c:pt>
                      <c:pt idx="2">
                        <c:v>Épica 1</c:v>
                      </c:pt>
                      <c:pt idx="3">
                        <c:v>Épica 2</c:v>
                      </c:pt>
                      <c:pt idx="4">
                        <c:v>Épica 1</c:v>
                      </c:pt>
                      <c:pt idx="5">
                        <c:v>Épica 1</c:v>
                      </c:pt>
                      <c:pt idx="6">
                        <c:v>Épica 2</c:v>
                      </c:pt>
                      <c:pt idx="7">
                        <c:v>Épica 2</c:v>
                      </c:pt>
                      <c:pt idx="8">
                        <c:v>Épica 2</c:v>
                      </c:pt>
                      <c:pt idx="9">
                        <c:v>Épica 1</c:v>
                      </c:pt>
                      <c:pt idx="10">
                        <c:v>Épica 1</c:v>
                      </c:pt>
                      <c:pt idx="11">
                        <c:v>Épica 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Hoja1!$E$34:$E$45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5D9-4F32-AE9E-65818A60FDDE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Hoja1!$F$33</c15:sqref>
                        </c15:formulaRef>
                      </c:ext>
                    </c:extLst>
                    <c:strCache>
                      <c:ptCount val="1"/>
                      <c:pt idx="0">
                        <c:v>Rol</c:v>
                      </c:pt>
                    </c:strCache>
                  </c:strRef>
                </c:tx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Hoja1!$A$34:$C$45</c15:sqref>
                        </c15:fullRef>
                        <c15:levelRef>
                          <c15:sqref>Hoja1!$A$34:$A$45</c15:sqref>
                        </c15:levelRef>
                        <c15:formulaRef>
                          <c15:sqref>Hoja1!$A$34:$A$45</c15:sqref>
                        </c15:formulaRef>
                      </c:ext>
                    </c:extLst>
                    <c:strCache>
                      <c:ptCount val="12"/>
                      <c:pt idx="0">
                        <c:v>Épica 1</c:v>
                      </c:pt>
                      <c:pt idx="1">
                        <c:v>Épica 1</c:v>
                      </c:pt>
                      <c:pt idx="2">
                        <c:v>Épica 1</c:v>
                      </c:pt>
                      <c:pt idx="3">
                        <c:v>Épica 2</c:v>
                      </c:pt>
                      <c:pt idx="4">
                        <c:v>Épica 1</c:v>
                      </c:pt>
                      <c:pt idx="5">
                        <c:v>Épica 1</c:v>
                      </c:pt>
                      <c:pt idx="6">
                        <c:v>Épica 2</c:v>
                      </c:pt>
                      <c:pt idx="7">
                        <c:v>Épica 2</c:v>
                      </c:pt>
                      <c:pt idx="8">
                        <c:v>Épica 2</c:v>
                      </c:pt>
                      <c:pt idx="9">
                        <c:v>Épica 1</c:v>
                      </c:pt>
                      <c:pt idx="10">
                        <c:v>Épica 1</c:v>
                      </c:pt>
                      <c:pt idx="11">
                        <c:v>Épica 2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Hoja1!$F$34:$F$45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5D9-4F32-AE9E-65818A60FDDE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Hoja1!$H$33</c15:sqref>
                        </c15:formulaRef>
                      </c:ext>
                    </c:extLst>
                    <c:strCache>
                      <c:ptCount val="1"/>
                      <c:pt idx="0">
                        <c:v>Progreso</c:v>
                      </c:pt>
                    </c:strCache>
                  </c:strRef>
                </c:tx>
                <c:spPr>
                  <a:solidFill>
                    <a:schemeClr val="accent5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Hoja1!$A$34:$C$45</c15:sqref>
                        </c15:fullRef>
                        <c15:levelRef>
                          <c15:sqref>Hoja1!$A$34:$A$45</c15:sqref>
                        </c15:levelRef>
                        <c15:formulaRef>
                          <c15:sqref>Hoja1!$A$34:$A$45</c15:sqref>
                        </c15:formulaRef>
                      </c:ext>
                    </c:extLst>
                    <c:strCache>
                      <c:ptCount val="12"/>
                      <c:pt idx="0">
                        <c:v>Épica 1</c:v>
                      </c:pt>
                      <c:pt idx="1">
                        <c:v>Épica 1</c:v>
                      </c:pt>
                      <c:pt idx="2">
                        <c:v>Épica 1</c:v>
                      </c:pt>
                      <c:pt idx="3">
                        <c:v>Épica 2</c:v>
                      </c:pt>
                      <c:pt idx="4">
                        <c:v>Épica 1</c:v>
                      </c:pt>
                      <c:pt idx="5">
                        <c:v>Épica 1</c:v>
                      </c:pt>
                      <c:pt idx="6">
                        <c:v>Épica 2</c:v>
                      </c:pt>
                      <c:pt idx="7">
                        <c:v>Épica 2</c:v>
                      </c:pt>
                      <c:pt idx="8">
                        <c:v>Épica 2</c:v>
                      </c:pt>
                      <c:pt idx="9">
                        <c:v>Épica 1</c:v>
                      </c:pt>
                      <c:pt idx="10">
                        <c:v>Épica 1</c:v>
                      </c:pt>
                      <c:pt idx="11">
                        <c:v>Épica 2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Hoja1!$H$34:$H$45</c15:sqref>
                        </c15:formulaRef>
                      </c:ext>
                    </c:extLst>
                    <c:numCache>
                      <c:formatCode>0%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5D9-4F32-AE9E-65818A60FDDE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Hoja1!$I$33</c15:sqref>
                        </c15:formulaRef>
                      </c:ext>
                    </c:extLst>
                    <c:strCache>
                      <c:ptCount val="1"/>
                      <c:pt idx="0">
                        <c:v>Restante</c:v>
                      </c:pt>
                    </c:strCache>
                  </c:strRef>
                </c:tx>
                <c:spPr>
                  <a:solidFill>
                    <a:schemeClr val="accent6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Hoja1!$A$34:$C$45</c15:sqref>
                        </c15:fullRef>
                        <c15:levelRef>
                          <c15:sqref>Hoja1!$A$34:$A$45</c15:sqref>
                        </c15:levelRef>
                        <c15:formulaRef>
                          <c15:sqref>Hoja1!$A$34:$A$45</c15:sqref>
                        </c15:formulaRef>
                      </c:ext>
                    </c:extLst>
                    <c:strCache>
                      <c:ptCount val="12"/>
                      <c:pt idx="0">
                        <c:v>Épica 1</c:v>
                      </c:pt>
                      <c:pt idx="1">
                        <c:v>Épica 1</c:v>
                      </c:pt>
                      <c:pt idx="2">
                        <c:v>Épica 1</c:v>
                      </c:pt>
                      <c:pt idx="3">
                        <c:v>Épica 2</c:v>
                      </c:pt>
                      <c:pt idx="4">
                        <c:v>Épica 1</c:v>
                      </c:pt>
                      <c:pt idx="5">
                        <c:v>Épica 1</c:v>
                      </c:pt>
                      <c:pt idx="6">
                        <c:v>Épica 2</c:v>
                      </c:pt>
                      <c:pt idx="7">
                        <c:v>Épica 2</c:v>
                      </c:pt>
                      <c:pt idx="8">
                        <c:v>Épica 2</c:v>
                      </c:pt>
                      <c:pt idx="9">
                        <c:v>Épica 1</c:v>
                      </c:pt>
                      <c:pt idx="10">
                        <c:v>Épica 1</c:v>
                      </c:pt>
                      <c:pt idx="11">
                        <c:v>Épica 2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Hoja1!$I$34:$I$45</c15:sqref>
                        </c15:formulaRef>
                      </c:ext>
                    </c:extLst>
                    <c:numCache>
                      <c:formatCode>0%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5D9-4F32-AE9E-65818A60FDDE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Hoja1!$J$33</c15:sqref>
                        </c15:formulaRef>
                      </c:ext>
                    </c:extLst>
                    <c:strCache>
                      <c:ptCount val="1"/>
                      <c:pt idx="0">
                        <c:v>Fecha Inicio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Hoja1!$A$34:$C$45</c15:sqref>
                        </c15:fullRef>
                        <c15:levelRef>
                          <c15:sqref>Hoja1!$A$34:$A$45</c15:sqref>
                        </c15:levelRef>
                        <c15:formulaRef>
                          <c15:sqref>Hoja1!$A$34:$A$45</c15:sqref>
                        </c15:formulaRef>
                      </c:ext>
                    </c:extLst>
                    <c:strCache>
                      <c:ptCount val="12"/>
                      <c:pt idx="0">
                        <c:v>Épica 1</c:v>
                      </c:pt>
                      <c:pt idx="1">
                        <c:v>Épica 1</c:v>
                      </c:pt>
                      <c:pt idx="2">
                        <c:v>Épica 1</c:v>
                      </c:pt>
                      <c:pt idx="3">
                        <c:v>Épica 2</c:v>
                      </c:pt>
                      <c:pt idx="4">
                        <c:v>Épica 1</c:v>
                      </c:pt>
                      <c:pt idx="5">
                        <c:v>Épica 1</c:v>
                      </c:pt>
                      <c:pt idx="6">
                        <c:v>Épica 2</c:v>
                      </c:pt>
                      <c:pt idx="7">
                        <c:v>Épica 2</c:v>
                      </c:pt>
                      <c:pt idx="8">
                        <c:v>Épica 2</c:v>
                      </c:pt>
                      <c:pt idx="9">
                        <c:v>Épica 1</c:v>
                      </c:pt>
                      <c:pt idx="10">
                        <c:v>Épica 1</c:v>
                      </c:pt>
                      <c:pt idx="11">
                        <c:v>Épica 2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Hoja1!$J$34:$J$45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>
                        <c:v>45969</c:v>
                      </c:pt>
                      <c:pt idx="1">
                        <c:v>45969</c:v>
                      </c:pt>
                      <c:pt idx="2">
                        <c:v>45969</c:v>
                      </c:pt>
                      <c:pt idx="3">
                        <c:v>45983</c:v>
                      </c:pt>
                      <c:pt idx="4">
                        <c:v>45968</c:v>
                      </c:pt>
                      <c:pt idx="5">
                        <c:v>45969</c:v>
                      </c:pt>
                      <c:pt idx="6">
                        <c:v>45983</c:v>
                      </c:pt>
                      <c:pt idx="7">
                        <c:v>45983</c:v>
                      </c:pt>
                      <c:pt idx="8">
                        <c:v>45981</c:v>
                      </c:pt>
                      <c:pt idx="9">
                        <c:v>45968</c:v>
                      </c:pt>
                      <c:pt idx="10">
                        <c:v>45969</c:v>
                      </c:pt>
                      <c:pt idx="11">
                        <c:v>45981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5D9-4F32-AE9E-65818A60FDDE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Hoja1!$K$33</c15:sqref>
                        </c15:formulaRef>
                      </c:ext>
                    </c:extLst>
                    <c:strCache>
                      <c:ptCount val="1"/>
                      <c:pt idx="0">
                        <c:v>Fecha Fin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Hoja1!$A$34:$C$45</c15:sqref>
                        </c15:fullRef>
                        <c15:levelRef>
                          <c15:sqref>Hoja1!$A$34:$A$45</c15:sqref>
                        </c15:levelRef>
                        <c15:formulaRef>
                          <c15:sqref>Hoja1!$A$34:$A$45</c15:sqref>
                        </c15:formulaRef>
                      </c:ext>
                    </c:extLst>
                    <c:strCache>
                      <c:ptCount val="12"/>
                      <c:pt idx="0">
                        <c:v>Épica 1</c:v>
                      </c:pt>
                      <c:pt idx="1">
                        <c:v>Épica 1</c:v>
                      </c:pt>
                      <c:pt idx="2">
                        <c:v>Épica 1</c:v>
                      </c:pt>
                      <c:pt idx="3">
                        <c:v>Épica 2</c:v>
                      </c:pt>
                      <c:pt idx="4">
                        <c:v>Épica 1</c:v>
                      </c:pt>
                      <c:pt idx="5">
                        <c:v>Épica 1</c:v>
                      </c:pt>
                      <c:pt idx="6">
                        <c:v>Épica 2</c:v>
                      </c:pt>
                      <c:pt idx="7">
                        <c:v>Épica 2</c:v>
                      </c:pt>
                      <c:pt idx="8">
                        <c:v>Épica 2</c:v>
                      </c:pt>
                      <c:pt idx="9">
                        <c:v>Épica 1</c:v>
                      </c:pt>
                      <c:pt idx="10">
                        <c:v>Épica 1</c:v>
                      </c:pt>
                      <c:pt idx="11">
                        <c:v>Épica 2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Hoja1!$K$34:$K$45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>
                        <c:v>45970</c:v>
                      </c:pt>
                      <c:pt idx="1">
                        <c:v>45970</c:v>
                      </c:pt>
                      <c:pt idx="2">
                        <c:v>45970</c:v>
                      </c:pt>
                      <c:pt idx="3">
                        <c:v>45984</c:v>
                      </c:pt>
                      <c:pt idx="4">
                        <c:v>45970</c:v>
                      </c:pt>
                      <c:pt idx="5">
                        <c:v>45970</c:v>
                      </c:pt>
                      <c:pt idx="6">
                        <c:v>45984</c:v>
                      </c:pt>
                      <c:pt idx="7">
                        <c:v>45984</c:v>
                      </c:pt>
                      <c:pt idx="8">
                        <c:v>45984</c:v>
                      </c:pt>
                      <c:pt idx="9">
                        <c:v>45970</c:v>
                      </c:pt>
                      <c:pt idx="10">
                        <c:v>45970</c:v>
                      </c:pt>
                      <c:pt idx="11">
                        <c:v>45984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5D9-4F32-AE9E-65818A60FDDE}"/>
                  </c:ext>
                </c:extLst>
              </c15:ser>
            </c15:filteredBarSeries>
          </c:ext>
        </c:extLst>
      </c:barChart>
      <c:catAx>
        <c:axId val="121098852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10987087"/>
        <c:crosses val="autoZero"/>
        <c:auto val="1"/>
        <c:lblAlgn val="ctr"/>
        <c:lblOffset val="100"/>
        <c:noMultiLvlLbl val="0"/>
      </c:catAx>
      <c:valAx>
        <c:axId val="1210987087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10988527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26782</xdr:colOff>
      <xdr:row>0</xdr:row>
      <xdr:rowOff>159122</xdr:rowOff>
    </xdr:from>
    <xdr:to>
      <xdr:col>15</xdr:col>
      <xdr:colOff>548752</xdr:colOff>
      <xdr:row>14</xdr:row>
      <xdr:rowOff>187697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7" name="Responsable">
              <a:extLst>
                <a:ext uri="{FF2B5EF4-FFF2-40B4-BE49-F238E27FC236}">
                  <a16:creationId xmlns:a16="http://schemas.microsoft.com/office/drawing/2014/main" id="{7A31DBF7-6F21-1186-0894-D478112673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l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56543" y="159122"/>
              <a:ext cx="2045970" cy="2695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125506</xdr:colOff>
      <xdr:row>26</xdr:row>
      <xdr:rowOff>29696</xdr:rowOff>
    </xdr:from>
    <xdr:to>
      <xdr:col>5</xdr:col>
      <xdr:colOff>658906</xdr:colOff>
      <xdr:row>30</xdr:row>
      <xdr:rowOff>143996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8" name="Sprint">
              <a:extLst>
                <a:ext uri="{FF2B5EF4-FFF2-40B4-BE49-F238E27FC236}">
                  <a16:creationId xmlns:a16="http://schemas.microsoft.com/office/drawing/2014/main" id="{8E7D7322-DB46-24CD-06D2-F4E226E238C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prin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506" y="4982696"/>
              <a:ext cx="6339509" cy="876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>
    <xdr:from>
      <xdr:col>0</xdr:col>
      <xdr:colOff>100011</xdr:colOff>
      <xdr:row>0</xdr:row>
      <xdr:rowOff>119062</xdr:rowOff>
    </xdr:from>
    <xdr:to>
      <xdr:col>12</xdr:col>
      <xdr:colOff>666749</xdr:colOff>
      <xdr:row>25</xdr:row>
      <xdr:rowOff>76200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D66C5989-B978-E29B-96BC-ACADD99E74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le" xr10:uid="{6EFDC9BA-F930-47F3-9EE6-6ED22CCCAA50}" sourceName="Responsable">
  <extLst>
    <x:ext xmlns:x15="http://schemas.microsoft.com/office/spreadsheetml/2010/11/main" uri="{2F2917AC-EB37-4324-AD4E-5DD8C200BD13}">
      <x15:tableSlicerCache tableId="1" column="5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print" xr10:uid="{2A7AEC45-40F4-40D0-AA47-236A30760331}" sourceName="Sprint">
  <extLst>
    <x:ext xmlns:x15="http://schemas.microsoft.com/office/spreadsheetml/2010/11/main" uri="{2F2917AC-EB37-4324-AD4E-5DD8C200BD13}">
      <x15:tableSlicerCache tableId="1" column="4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le" xr10:uid="{986BFC64-4DF2-432B-A385-DF951EA05113}" cache="SegmentaciónDeDatos_Responsable" caption="Responsable" rowHeight="257175"/>
  <slicer name="Sprint" xr10:uid="{54C58E3B-E2F6-40C1-8924-2CE4EAB7196F}" cache="SegmentaciónDeDatos_Sprint" caption="Sprint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3B1AF0-13D4-40C5-A4C2-B92450BCC85F}" name="Tabla1" displayName="Tabla1" ref="A33:M45" totalsRowShown="0" headerRowDxfId="14" dataDxfId="13">
  <autoFilter ref="A33:M45" xr:uid="{6F3B1AF0-13D4-40C5-A4C2-B92450BCC85F}"/>
  <sortState xmlns:xlrd2="http://schemas.microsoft.com/office/spreadsheetml/2017/richdata2" ref="A34:M45">
    <sortCondition ref="G33:G45"/>
  </sortState>
  <tableColumns count="13">
    <tableColumn id="1" xr3:uid="{47B46FE4-4856-4264-B631-A3C6F8CFFA8C}" name="Épica" dataDxfId="12"/>
    <tableColumn id="2" xr3:uid="{AFD1EE95-73A9-44A4-B0AD-5A8D7D7BCEEE}" name="Entrega de valor" dataDxfId="11"/>
    <tableColumn id="3" xr3:uid="{E9E1373F-BCAE-4C0E-8B1E-78CEDADD05FA}" name="HA/HU" dataDxfId="10"/>
    <tableColumn id="4" xr3:uid="{DED29EA1-7FA9-49A0-B024-AF2886083EFA}" name="Sprint" dataDxfId="9"/>
    <tableColumn id="5" xr3:uid="{A00182EC-FB57-49F2-ACFB-8E6E89125285}" name="Responsable" dataDxfId="8"/>
    <tableColumn id="6" xr3:uid="{DEC8DC26-0D3B-49EA-9E20-9898DF7F274A}" name="Rol" dataDxfId="7"/>
    <tableColumn id="7" xr3:uid="{FE378DBB-255B-4196-B073-706075D9BC0E}" name="Puntos" dataDxfId="6"/>
    <tableColumn id="8" xr3:uid="{1C0E9A58-8D30-4BD8-B864-70235E58CB5D}" name="Progreso" dataDxfId="5"/>
    <tableColumn id="9" xr3:uid="{CD215955-B6BB-40FC-B5DD-ED675D3A5DA5}" name="Restante" dataDxfId="4"/>
    <tableColumn id="10" xr3:uid="{3585AD9F-C925-4180-A4DB-99955629FFEF}" name="Fecha Inicio" dataDxfId="3"/>
    <tableColumn id="11" xr3:uid="{33CD02D3-BD29-4625-B56C-4A9315CDAB6A}" name="Fecha Fin" dataDxfId="2"/>
    <tableColumn id="12" xr3:uid="{C00CC4E4-E69E-4850-B24E-45C75AC40C94}" name="Duración Días" dataDxfId="1">
      <calculatedColumnFormula>K34 - J34</calculatedColumnFormula>
    </tableColumn>
    <tableColumn id="13" xr3:uid="{7BB36BEB-5A3D-4508-B856-F6CAEE654103}" name="%Días" dataDxfId="0">
      <calculatedColumnFormula>H34*L34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D1047-53A5-499D-ACD2-BC5E809F9171}">
  <dimension ref="A33:M45"/>
  <sheetViews>
    <sheetView tabSelected="1" zoomScale="115" zoomScaleNormal="115" workbookViewId="0">
      <selection activeCell="Q24" sqref="Q24"/>
    </sheetView>
  </sheetViews>
  <sheetFormatPr baseColWidth="10" defaultRowHeight="15" x14ac:dyDescent="0.25"/>
  <cols>
    <col min="2" max="2" width="17.42578125" customWidth="1"/>
    <col min="3" max="3" width="32.42578125" bestFit="1" customWidth="1"/>
    <col min="5" max="5" width="14.42578125" customWidth="1"/>
    <col min="8" max="8" width="12.85546875" bestFit="1" customWidth="1"/>
    <col min="9" max="9" width="12.7109375" bestFit="1" customWidth="1"/>
    <col min="10" max="10" width="15.28515625" bestFit="1" customWidth="1"/>
    <col min="11" max="11" width="13.28515625" bestFit="1" customWidth="1"/>
    <col min="12" max="12" width="16.85546875" bestFit="1" customWidth="1"/>
  </cols>
  <sheetData>
    <row r="33" spans="1:13" x14ac:dyDescent="0.25">
      <c r="A33" s="3" t="s">
        <v>21</v>
      </c>
      <c r="B33" s="3" t="s">
        <v>0</v>
      </c>
      <c r="C33" s="3" t="s">
        <v>1</v>
      </c>
      <c r="D33" s="3" t="s">
        <v>2</v>
      </c>
      <c r="E33" s="3" t="s">
        <v>3</v>
      </c>
      <c r="F33" s="3" t="s">
        <v>4</v>
      </c>
      <c r="G33" s="3" t="s">
        <v>5</v>
      </c>
      <c r="H33" s="3" t="s">
        <v>6</v>
      </c>
      <c r="I33" s="3" t="s">
        <v>7</v>
      </c>
      <c r="J33" s="3" t="s">
        <v>8</v>
      </c>
      <c r="K33" s="3" t="s">
        <v>22</v>
      </c>
      <c r="L33" s="3" t="s">
        <v>23</v>
      </c>
      <c r="M33" s="3" t="s">
        <v>24</v>
      </c>
    </row>
    <row r="34" spans="1:13" x14ac:dyDescent="0.25">
      <c r="A34" s="2" t="s">
        <v>9</v>
      </c>
      <c r="B34" s="2" t="s">
        <v>10</v>
      </c>
      <c r="C34" s="2" t="s">
        <v>20</v>
      </c>
      <c r="D34" s="2">
        <v>1</v>
      </c>
      <c r="E34" s="2" t="s">
        <v>12</v>
      </c>
      <c r="F34" s="2" t="s">
        <v>13</v>
      </c>
      <c r="G34" s="2">
        <v>20</v>
      </c>
      <c r="H34" s="4">
        <v>1</v>
      </c>
      <c r="I34" s="4">
        <v>0</v>
      </c>
      <c r="J34" s="1">
        <v>45969</v>
      </c>
      <c r="K34" s="1">
        <v>45970</v>
      </c>
      <c r="L34" s="2">
        <f>K34 - J34</f>
        <v>1</v>
      </c>
      <c r="M34" s="2">
        <f>H34*L34</f>
        <v>1</v>
      </c>
    </row>
    <row r="35" spans="1:13" x14ac:dyDescent="0.25">
      <c r="A35" s="2" t="s">
        <v>9</v>
      </c>
      <c r="B35" s="2" t="s">
        <v>10</v>
      </c>
      <c r="C35" s="2" t="s">
        <v>17</v>
      </c>
      <c r="D35" s="2">
        <v>1</v>
      </c>
      <c r="E35" s="2" t="s">
        <v>25</v>
      </c>
      <c r="F35" s="2" t="s">
        <v>13</v>
      </c>
      <c r="G35" s="2">
        <v>30</v>
      </c>
      <c r="H35" s="4">
        <v>1</v>
      </c>
      <c r="I35" s="4">
        <v>0</v>
      </c>
      <c r="J35" s="1">
        <v>45969</v>
      </c>
      <c r="K35" s="1">
        <v>45970</v>
      </c>
      <c r="L35" s="2">
        <f>K35 - J35</f>
        <v>1</v>
      </c>
      <c r="M35" s="2">
        <f>H35*L35</f>
        <v>1</v>
      </c>
    </row>
    <row r="36" spans="1:13" x14ac:dyDescent="0.25">
      <c r="A36" s="2" t="s">
        <v>9</v>
      </c>
      <c r="B36" s="2" t="s">
        <v>10</v>
      </c>
      <c r="C36" s="2" t="s">
        <v>18</v>
      </c>
      <c r="D36" s="2">
        <v>1</v>
      </c>
      <c r="E36" s="2" t="s">
        <v>25</v>
      </c>
      <c r="F36" s="2" t="s">
        <v>13</v>
      </c>
      <c r="G36" s="2">
        <v>40</v>
      </c>
      <c r="H36" s="4">
        <v>1</v>
      </c>
      <c r="I36" s="4">
        <v>0</v>
      </c>
      <c r="J36" s="1">
        <v>45969</v>
      </c>
      <c r="K36" s="1">
        <v>45970</v>
      </c>
      <c r="L36" s="2">
        <f>K36 - J36</f>
        <v>1</v>
      </c>
      <c r="M36" s="2">
        <f>H36*L36</f>
        <v>1</v>
      </c>
    </row>
    <row r="37" spans="1:13" x14ac:dyDescent="0.25">
      <c r="A37" s="6" t="s">
        <v>26</v>
      </c>
      <c r="B37" s="6" t="s">
        <v>27</v>
      </c>
      <c r="C37" s="2" t="s">
        <v>20</v>
      </c>
      <c r="D37" s="2">
        <v>2</v>
      </c>
      <c r="E37" s="2" t="s">
        <v>12</v>
      </c>
      <c r="F37" s="2" t="s">
        <v>13</v>
      </c>
      <c r="G37" s="2">
        <v>40</v>
      </c>
      <c r="H37" s="4">
        <v>1</v>
      </c>
      <c r="I37" s="4">
        <v>0</v>
      </c>
      <c r="J37" s="7">
        <v>45983</v>
      </c>
      <c r="K37" s="7">
        <v>45984</v>
      </c>
      <c r="L37" s="2">
        <f>K37 - J37</f>
        <v>1</v>
      </c>
      <c r="M37" s="2">
        <f>H37*L37</f>
        <v>1</v>
      </c>
    </row>
    <row r="38" spans="1:13" x14ac:dyDescent="0.25">
      <c r="A38" s="2" t="s">
        <v>9</v>
      </c>
      <c r="B38" s="2" t="s">
        <v>10</v>
      </c>
      <c r="C38" s="2" t="s">
        <v>11</v>
      </c>
      <c r="D38" s="2">
        <v>1</v>
      </c>
      <c r="E38" s="2" t="s">
        <v>25</v>
      </c>
      <c r="F38" s="2" t="s">
        <v>15</v>
      </c>
      <c r="G38" s="2">
        <v>50</v>
      </c>
      <c r="H38" s="4">
        <v>1</v>
      </c>
      <c r="I38" s="4">
        <v>0</v>
      </c>
      <c r="J38" s="1">
        <v>45968</v>
      </c>
      <c r="K38" s="1">
        <v>45970</v>
      </c>
      <c r="L38" s="2">
        <f>K38 - J38</f>
        <v>2</v>
      </c>
      <c r="M38" s="2">
        <f>H38*L38</f>
        <v>2</v>
      </c>
    </row>
    <row r="39" spans="1:13" x14ac:dyDescent="0.25">
      <c r="A39" s="2" t="s">
        <v>9</v>
      </c>
      <c r="B39" s="2" t="s">
        <v>10</v>
      </c>
      <c r="C39" s="2" t="s">
        <v>16</v>
      </c>
      <c r="D39" s="2">
        <v>1</v>
      </c>
      <c r="E39" s="2" t="s">
        <v>12</v>
      </c>
      <c r="F39" s="2" t="s">
        <v>15</v>
      </c>
      <c r="G39" s="2">
        <v>60</v>
      </c>
      <c r="H39" s="4">
        <v>1</v>
      </c>
      <c r="I39" s="4">
        <v>0</v>
      </c>
      <c r="J39" s="5">
        <v>45969</v>
      </c>
      <c r="K39" s="1">
        <v>45970</v>
      </c>
      <c r="L39" s="2">
        <f>K39 - J39</f>
        <v>1</v>
      </c>
      <c r="M39" s="2">
        <f>H39*L39</f>
        <v>1</v>
      </c>
    </row>
    <row r="40" spans="1:13" x14ac:dyDescent="0.25">
      <c r="A40" s="6" t="s">
        <v>26</v>
      </c>
      <c r="B40" s="6" t="s">
        <v>27</v>
      </c>
      <c r="C40" s="2" t="s">
        <v>30</v>
      </c>
      <c r="D40" s="2">
        <v>2</v>
      </c>
      <c r="E40" s="2" t="s">
        <v>12</v>
      </c>
      <c r="F40" s="2" t="s">
        <v>13</v>
      </c>
      <c r="G40" s="2">
        <v>60</v>
      </c>
      <c r="H40" s="4">
        <v>1</v>
      </c>
      <c r="I40" s="4">
        <v>0</v>
      </c>
      <c r="J40" s="7">
        <v>45983</v>
      </c>
      <c r="K40" s="7">
        <v>45984</v>
      </c>
      <c r="L40" s="2">
        <f>K40 - J40</f>
        <v>1</v>
      </c>
      <c r="M40" s="2">
        <f>H40*L40</f>
        <v>1</v>
      </c>
    </row>
    <row r="41" spans="1:13" x14ac:dyDescent="0.25">
      <c r="A41" s="6" t="s">
        <v>26</v>
      </c>
      <c r="B41" s="6" t="s">
        <v>27</v>
      </c>
      <c r="C41" s="2" t="s">
        <v>31</v>
      </c>
      <c r="D41" s="2">
        <v>2</v>
      </c>
      <c r="E41" s="2" t="s">
        <v>25</v>
      </c>
      <c r="F41" s="2" t="s">
        <v>15</v>
      </c>
      <c r="G41" s="2">
        <v>60</v>
      </c>
      <c r="H41" s="4">
        <v>1</v>
      </c>
      <c r="I41" s="4">
        <v>0</v>
      </c>
      <c r="J41" s="7">
        <v>45983</v>
      </c>
      <c r="K41" s="7">
        <v>45984</v>
      </c>
      <c r="L41" s="2">
        <f>K41 - J41</f>
        <v>1</v>
      </c>
      <c r="M41" s="2">
        <f>H41*L41</f>
        <v>1</v>
      </c>
    </row>
    <row r="42" spans="1:13" x14ac:dyDescent="0.25">
      <c r="A42" s="6" t="s">
        <v>26</v>
      </c>
      <c r="B42" s="6" t="s">
        <v>27</v>
      </c>
      <c r="C42" s="2" t="s">
        <v>29</v>
      </c>
      <c r="D42" s="2">
        <v>2</v>
      </c>
      <c r="E42" s="2" t="s">
        <v>12</v>
      </c>
      <c r="F42" s="2" t="s">
        <v>13</v>
      </c>
      <c r="G42" s="2">
        <v>70</v>
      </c>
      <c r="H42" s="4">
        <v>1</v>
      </c>
      <c r="I42" s="4">
        <v>0</v>
      </c>
      <c r="J42" s="7">
        <v>45981</v>
      </c>
      <c r="K42" s="7">
        <v>45984</v>
      </c>
      <c r="L42" s="2">
        <f>K42 - J42</f>
        <v>3</v>
      </c>
      <c r="M42" s="2">
        <f>H42*L42</f>
        <v>3</v>
      </c>
    </row>
    <row r="43" spans="1:13" x14ac:dyDescent="0.25">
      <c r="A43" s="2" t="s">
        <v>9</v>
      </c>
      <c r="B43" s="2" t="s">
        <v>10</v>
      </c>
      <c r="C43" s="2" t="s">
        <v>14</v>
      </c>
      <c r="D43" s="2">
        <v>1</v>
      </c>
      <c r="E43" s="2" t="s">
        <v>12</v>
      </c>
      <c r="F43" s="2" t="s">
        <v>15</v>
      </c>
      <c r="G43" s="2">
        <v>80</v>
      </c>
      <c r="H43" s="4">
        <v>1</v>
      </c>
      <c r="I43" s="4">
        <v>0</v>
      </c>
      <c r="J43" s="1">
        <v>45968</v>
      </c>
      <c r="K43" s="1">
        <v>45970</v>
      </c>
      <c r="L43" s="2">
        <f>K43 - J43</f>
        <v>2</v>
      </c>
      <c r="M43" s="2">
        <f>H43*L43</f>
        <v>2</v>
      </c>
    </row>
    <row r="44" spans="1:13" x14ac:dyDescent="0.25">
      <c r="A44" s="2" t="s">
        <v>9</v>
      </c>
      <c r="B44" s="2" t="s">
        <v>10</v>
      </c>
      <c r="C44" s="2" t="s">
        <v>19</v>
      </c>
      <c r="D44" s="2">
        <v>1</v>
      </c>
      <c r="E44" s="2" t="s">
        <v>25</v>
      </c>
      <c r="F44" s="2" t="s">
        <v>13</v>
      </c>
      <c r="G44" s="2">
        <v>90</v>
      </c>
      <c r="H44" s="4">
        <v>1</v>
      </c>
      <c r="I44" s="4">
        <v>0</v>
      </c>
      <c r="J44" s="1">
        <v>45969</v>
      </c>
      <c r="K44" s="1">
        <v>45970</v>
      </c>
      <c r="L44" s="2">
        <f>K44 - J44</f>
        <v>1</v>
      </c>
      <c r="M44" s="2">
        <f>H44*L44</f>
        <v>1</v>
      </c>
    </row>
    <row r="45" spans="1:13" x14ac:dyDescent="0.25">
      <c r="A45" s="6" t="s">
        <v>26</v>
      </c>
      <c r="B45" s="6" t="s">
        <v>27</v>
      </c>
      <c r="C45" s="6" t="s">
        <v>28</v>
      </c>
      <c r="D45" s="6">
        <v>2</v>
      </c>
      <c r="E45" s="6" t="s">
        <v>25</v>
      </c>
      <c r="F45" s="2" t="s">
        <v>15</v>
      </c>
      <c r="G45" s="6">
        <v>90</v>
      </c>
      <c r="H45" s="4">
        <v>1</v>
      </c>
      <c r="I45" s="4">
        <v>0</v>
      </c>
      <c r="J45" s="7">
        <v>45981</v>
      </c>
      <c r="K45" s="7">
        <v>45984</v>
      </c>
      <c r="L45" s="2">
        <f>K45 - J45</f>
        <v>3</v>
      </c>
      <c r="M45" s="2">
        <f>H45*L45</f>
        <v>3</v>
      </c>
    </row>
  </sheetData>
  <phoneticPr fontId="3" type="noConversion"/>
  <pageMargins left="0.7" right="0.7" top="0.75" bottom="0.75" header="0.3" footer="0.3"/>
  <pageSetup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Olea</dc:creator>
  <cp:lastModifiedBy>Camilo Olea</cp:lastModifiedBy>
  <dcterms:created xsi:type="dcterms:W3CDTF">2025-11-08T19:27:27Z</dcterms:created>
  <dcterms:modified xsi:type="dcterms:W3CDTF">2025-11-24T02:32:18Z</dcterms:modified>
</cp:coreProperties>
</file>